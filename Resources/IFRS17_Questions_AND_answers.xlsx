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obin Ochieng\OneDrive - Kenbright\Attachments\projects\2025\November\IFRS 17 Exam App\Resources\"/>
    </mc:Choice>
  </mc:AlternateContent>
  <xr:revisionPtr revIDLastSave="0" documentId="13_ncr:9_{187E0C63-32D0-4574-8B42-30991933838F}" xr6:coauthVersionLast="47" xr6:coauthVersionMax="47" xr10:uidLastSave="{00000000-0000-0000-0000-000000000000}"/>
  <bookViews>
    <workbookView xWindow="-120" yWindow="-120" windowWidth="29040" windowHeight="17520" xr2:uid="{30A7F611-B1DD-44D2-9947-5D05997B23AA}"/>
  </bookViews>
  <sheets>
    <sheet name="IFRS17_Questions_AND_answers" sheetId="1" r:id="rId1"/>
  </sheets>
  <calcPr calcId="0"/>
</workbook>
</file>

<file path=xl/calcChain.xml><?xml version="1.0" encoding="utf-8"?>
<calcChain xmlns="http://schemas.openxmlformats.org/spreadsheetml/2006/main">
  <c r="B16" i="1" l="1"/>
  <c r="B17" i="1"/>
  <c r="B18" i="1"/>
  <c r="B19" i="1"/>
  <c r="B20" i="1"/>
  <c r="B21" i="1"/>
  <c r="B22" i="1"/>
  <c r="B23" i="1"/>
  <c r="B24" i="1"/>
  <c r="B25" i="1"/>
  <c r="B26" i="1"/>
  <c r="B27" i="1"/>
  <c r="B28" i="1"/>
  <c r="B29" i="1"/>
  <c r="B30" i="1"/>
  <c r="B31" i="1"/>
  <c r="B32" i="1"/>
  <c r="B33" i="1"/>
  <c r="B34" i="1"/>
  <c r="B35" i="1"/>
  <c r="B36" i="1"/>
  <c r="B3" i="1"/>
  <c r="B4" i="1"/>
  <c r="B5" i="1"/>
  <c r="B6" i="1"/>
  <c r="B7" i="1"/>
  <c r="B8" i="1"/>
  <c r="B9" i="1"/>
  <c r="B10" i="1"/>
  <c r="B11" i="1"/>
  <c r="B12" i="1"/>
  <c r="B13" i="1"/>
  <c r="B14" i="1"/>
  <c r="B15" i="1"/>
  <c r="B2" i="1"/>
</calcChain>
</file>

<file path=xl/sharedStrings.xml><?xml version="1.0" encoding="utf-8"?>
<sst xmlns="http://schemas.openxmlformats.org/spreadsheetml/2006/main" count="254" uniqueCount="223">
  <si>
    <t>question_number</t>
  </si>
  <si>
    <t>marks</t>
  </si>
  <si>
    <t>question_text</t>
  </si>
  <si>
    <t>option_a</t>
  </si>
  <si>
    <t>option_b</t>
  </si>
  <si>
    <t>option_c</t>
  </si>
  <si>
    <t>option_d</t>
  </si>
  <si>
    <t>correct_answer</t>
  </si>
  <si>
    <t>explanation</t>
  </si>
  <si>
    <t>C</t>
  </si>
  <si>
    <t>B</t>
  </si>
  <si>
    <t>A</t>
  </si>
  <si>
    <t>What is the primary objective of IFRS 17?</t>
  </si>
  <si>
    <t>What does IFRS 17 replace?</t>
  </si>
  <si>
    <t>What was the official date of initial application for IFRS 17?</t>
  </si>
  <si>
    <t>Which of the following contracts falls under the scope of IFRS 17?</t>
  </si>
  <si>
    <t>An insurer enters into two separate contracts with the same policyholder at the same time. Contract A provides insurance coverage, while Contract B negates the financial exposure of Contract A entirely. According to IFRS 17, how should the insurer report these contracts?</t>
  </si>
  <si>
    <t>An insurer bundles multiple policies for a corporate client into a package with interdependent pricing. Some policies provide coverage, while others hedge specific risks associated with the insured entity. Under IFRS 17, how should these contracts be accounted for?</t>
  </si>
  <si>
    <t>Which of the following scenarios would not require the combination of contracts under IFRS 17?</t>
  </si>
  <si>
    <t>A life insurer offers a package where a main policy includes both insurance coverage and an investment component. The investment feature provides financial returns that could exist independently without the insurance portion. How should the insurer treat this arrangement under IFRS 17?</t>
  </si>
  <si>
    <t>What is the main purpose of aggregation under IFRS 17?</t>
  </si>
  <si>
    <t>How does IFRS 17 recommend handling groups of contracts under the Premium Allocation Approach (PAA)?</t>
  </si>
  <si>
    <t>What additional check must be done for policies eligible for the General Measurement Model (GMM)?</t>
  </si>
  <si>
    <t>What happens if a contract becomes onerous after initial recognition?</t>
  </si>
  <si>
    <t>When must a group of insurance contracts be recognized under IFRS 17?</t>
  </si>
  <si>
    <t>What is the treatment if IACFs are not immediately expensed?</t>
  </si>
  <si>
    <t>How often can the discount rate be changed for a group?</t>
  </si>
  <si>
    <t>Which cash flows should be included in the measurement of the contract at initial recognition?</t>
  </si>
  <si>
    <t>What happens to a day-1 gain under IFRS 17?</t>
  </si>
  <si>
    <t>Under which model is no CSM typically recognized?</t>
  </si>
  <si>
    <t>Which of the following is a valid reason to apply the Premium Allocation Approach (PAA) at initial recognition?</t>
  </si>
  <si>
    <t>Which changes are excluded from adjusting the CSM?</t>
  </si>
  <si>
    <t>What does the Liability for Remaining Coverage (LRC) include?</t>
  </si>
  <si>
    <t>What role does the risk adjustment play in subsequent measurement?</t>
  </si>
  <si>
    <t>What is the primary distinction between the bottom-up and top-down approaches for deriving discount rates under IFRS 17?</t>
  </si>
  <si>
    <t>Can a loss component (LC) established for an onerous group of contracts under IFRS 17 be reversed in subsequent periods?</t>
  </si>
  <si>
    <t>Which discount rate is used to accrete interest on the CSM?</t>
  </si>
  <si>
    <t>Which of the following risks is excluded from the IFRS 17 risk adjustment?</t>
  </si>
  <si>
    <t>How is the CSM treated for onerous contracts?</t>
  </si>
  <si>
    <t xml:space="preserve"> How is the loss component recognized?</t>
  </si>
  <si>
    <t>Which of the following changes can make a previously profitable contract group onerous?</t>
  </si>
  <si>
    <t>What does the liability for remaining coverage (LRC) under PAA represent?</t>
  </si>
  <si>
    <t>Can insurers offset profitable and onerous contracts within a portfolio under PAA?</t>
  </si>
  <si>
    <t>Can a gain on purchase of reinsurance be recognized immediately?</t>
  </si>
  <si>
    <t>How are changes in fulfilment cash flows for reinsurance contracts treated?</t>
  </si>
  <si>
    <t>How are reinsurance recoveries presented in the income statement?</t>
  </si>
  <si>
    <t>What is the impact of a reinsurance CSM being negative?</t>
  </si>
  <si>
    <t>To standardize insurance accounting globally</t>
  </si>
  <si>
    <t>To replace IFRS 16</t>
  </si>
  <si>
    <t>To define financial instruments</t>
  </si>
  <si>
    <t>To measure investment property</t>
  </si>
  <si>
    <t>IAS 37</t>
  </si>
  <si>
    <t>IFRS 4</t>
  </si>
  <si>
    <t>IFRS 9</t>
  </si>
  <si>
    <t>IAS 40</t>
  </si>
  <si>
    <t>1st January 2022</t>
  </si>
  <si>
    <t>31st December 2022</t>
  </si>
  <si>
    <t>1st January 2023</t>
  </si>
  <si>
    <t>1st January 2021</t>
  </si>
  <si>
    <t>Product warranty issued by a retailer</t>
  </si>
  <si>
    <t>Lease contract under IFRS 16</t>
  </si>
  <si>
    <t>Financial guarantee contract under IFRS 9</t>
  </si>
  <si>
    <t>Reinsurance contract held by an insurer</t>
  </si>
  <si>
    <t>Treat the contracts as a single arrangement because they achieve an overall commercial effect</t>
  </si>
  <si>
    <t>Report both contracts separately as independent arrangements</t>
  </si>
  <si>
    <t>Recognize only Contract A since it was issued first</t>
  </si>
  <si>
    <t>Disclose both contracts but report them under IFRS 9</t>
  </si>
  <si>
    <t>Each contract must be evaluated individually regardless of interdependencies</t>
  </si>
  <si>
    <t>The bundled contracts should be treated as a single unit if they collectively achieve an overall commercial effect</t>
  </si>
  <si>
    <t>Contracts should be separated since they have different durations</t>
  </si>
  <si>
    <t>Each contract should be reported based on legal form rather than economic substance</t>
  </si>
  <si>
    <t>Two insurance contracts issued simultaneously to the same policyholder, with pricing designed to work together</t>
  </si>
  <si>
    <t>A reinsurance contract that fully offsets the risk of an insurance policy issued by the same insurer</t>
  </si>
  <si>
    <t>An insurance contract and an investment product sold separately with no dependency in pricing or risk</t>
  </si>
  <si>
    <t>A life insurance contract and a rider that cancels all coverage in the main policy</t>
  </si>
  <si>
    <t>Recognize it as a single insurance contract</t>
  </si>
  <si>
    <t>Treat the entire contract under IFRS 9</t>
  </si>
  <si>
    <t>Combine the investment component only if it exceeds 50% of total premiums</t>
  </si>
  <si>
    <t>Separate the investment component if it can be sold independently</t>
  </si>
  <si>
    <t>To reduce the number of contracts reported</t>
  </si>
  <si>
    <t>To ensure accurate timing of profit and loss recognition</t>
  </si>
  <si>
    <t>To make contract management easier</t>
  </si>
  <si>
    <t>To avoid having to assess individual contracts</t>
  </si>
  <si>
    <t>Assume they are always profitable</t>
  </si>
  <si>
    <t>Assume all contracts are onerous</t>
  </si>
  <si>
    <t>Group them based on product type only</t>
  </si>
  <si>
    <t>Assume none are onerous at initial recognition unless facts suggest otherwise</t>
  </si>
  <si>
    <t>Verification of market premium rates</t>
  </si>
  <si>
    <t>Sensitivity testing and internal report reviews</t>
  </si>
  <si>
    <t>Reinsurance matching</t>
  </si>
  <si>
    <t>Underwriter interviews</t>
  </si>
  <si>
    <t>The group composition remains unchanged</t>
  </si>
  <si>
    <t>It is moved to the 'onerous' group retroactively</t>
  </si>
  <si>
    <t>The contract is cancelled</t>
  </si>
  <si>
    <t>A new group is created</t>
  </si>
  <si>
    <t>At the end of the reporting period</t>
  </si>
  <si>
    <t>When the last payment is received</t>
  </si>
  <si>
    <t>When the policyholder signs the contract</t>
  </si>
  <si>
    <t>At the earliest of the coverage period start, first payment due, or when the group becomes onerous</t>
  </si>
  <si>
    <t>They are recognized as an asset or liability</t>
  </si>
  <si>
    <t>They are deferred revenue</t>
  </si>
  <si>
    <t>They are added to the CSM</t>
  </si>
  <si>
    <t>They are amortized over the contract term</t>
  </si>
  <si>
    <t>Monthly</t>
  </si>
  <si>
    <t>Only if new contracts are added that change it</t>
  </si>
  <si>
    <t>Once a year</t>
  </si>
  <si>
    <t>Never</t>
  </si>
  <si>
    <t>Past claims only</t>
  </si>
  <si>
    <t>Cash flows related to investment returns</t>
  </si>
  <si>
    <t>Future premiums and claim payments</t>
  </si>
  <si>
    <t>Marketing expenses</t>
  </si>
  <si>
    <t>Deferred in CSM</t>
  </si>
  <si>
    <t>Recognized as revenue</t>
  </si>
  <si>
    <t>Transferred to retained earnings</t>
  </si>
  <si>
    <t>Recorded as OCI</t>
  </si>
  <si>
    <t>GMM</t>
  </si>
  <si>
    <t>PAA</t>
  </si>
  <si>
    <t>VFA</t>
  </si>
  <si>
    <t>Modified GMM</t>
  </si>
  <si>
    <t>It results in higher revenue.</t>
  </si>
  <si>
    <t>The contract has a coverage period of more than one year</t>
  </si>
  <si>
    <t>The simplification does not significantly differ from GMM results</t>
  </si>
  <si>
    <t>It avoids recognition of acquisition costs</t>
  </si>
  <si>
    <t>Future service estimates</t>
  </si>
  <si>
    <t>Time value updates</t>
  </si>
  <si>
    <t>Risk of lapses</t>
  </si>
  <si>
    <t>Policyholder behavior assumptions</t>
  </si>
  <si>
    <t>CSM + premiums received</t>
  </si>
  <si>
    <t>Fulfilment cash flows + CSM</t>
  </si>
  <si>
    <t>Only claims paid</t>
  </si>
  <si>
    <t>Gross income</t>
  </si>
  <si>
    <t>Reduces cash flows</t>
  </si>
  <si>
    <t>Defers tax</t>
  </si>
  <si>
    <t>Adjusts for uncertainty in non-financial risks</t>
  </si>
  <si>
    <t>Ignores future inflation</t>
  </si>
  <si>
    <t>The bottom-up approach starts from asset returns and adjusts for insurance features</t>
  </si>
  <si>
    <t>The top-down approach uses a risk-free curve and adds risk premiums</t>
  </si>
  <si>
    <t>The top-down approach always requires matching the exact liquidity of insurance contracts.</t>
  </si>
  <si>
    <t>The bottom-up approach starts with a liquid risk-free yield curve and adjusts for illiquidity</t>
  </si>
  <si>
    <t>No, once established, a loss component cannot be reversed.</t>
  </si>
  <si>
    <t>Yes, but only through adjustments to the Risk Adjustment for non-financial risk.</t>
  </si>
  <si>
    <t>Only if the contracts are derecognized.</t>
  </si>
  <si>
    <t>Yes, if future changes in fulfilment cash flows indicate that the group is no longer onerous.</t>
  </si>
  <si>
    <t>The risk-free rate at the reporting date</t>
  </si>
  <si>
    <t>The weighted average discount rate for incurred claims</t>
  </si>
  <si>
    <t>The current market interest rate for government bonds</t>
  </si>
  <si>
    <t>The discount rate at initial recognition of the group of contracts</t>
  </si>
  <si>
    <t>Lapse risk</t>
  </si>
  <si>
    <t>Expense risk</t>
  </si>
  <si>
    <t>Financial risk (e.g. interest rate risk)</t>
  </si>
  <si>
    <t>Morbidity risk</t>
  </si>
  <si>
    <t>Deferred</t>
  </si>
  <si>
    <t>Reversed</t>
  </si>
  <si>
    <t>Released to profit</t>
  </si>
  <si>
    <t>Set to zero</t>
  </si>
  <si>
    <t>As an asset</t>
  </si>
  <si>
    <t>Through OCI</t>
  </si>
  <si>
    <t>As an adjustment to the CSM</t>
  </si>
  <si>
    <t>In profit or loss</t>
  </si>
  <si>
    <t>Increase in administrative expenses</t>
  </si>
  <si>
    <t>Drop in discount rates</t>
  </si>
  <si>
    <t>Revised premium allocation method</t>
  </si>
  <si>
    <t>Change in accounting policy</t>
  </si>
  <si>
    <t>Future claims paid</t>
  </si>
  <si>
    <t>Present value of premiums</t>
  </si>
  <si>
    <t>The unearned portion of premiums minus acquisition costs</t>
  </si>
  <si>
    <t>Incurred claims</t>
  </si>
  <si>
    <t>No, grouping rules prevent offsetting</t>
  </si>
  <si>
    <t>Only with auditor approval</t>
  </si>
  <si>
    <t>Yes</t>
  </si>
  <si>
    <t>Only for reinsurance</t>
  </si>
  <si>
    <t>Yes, it boosts profit</t>
  </si>
  <si>
    <t>No, it is included in the CSM</t>
  </si>
  <si>
    <t>Only if the reinsurer agrees</t>
  </si>
  <si>
    <t>Yes, under PAA</t>
  </si>
  <si>
    <t>Adjust the CSM or go through P&amp;L</t>
  </si>
  <si>
    <t>Ignore until contract maturity</t>
  </si>
  <si>
    <t>Expensed as acquisition costs</t>
  </si>
  <si>
    <t>Deferred indefinitely</t>
  </si>
  <si>
    <t>Included in insurance revenue</t>
  </si>
  <si>
    <t>Included in investment income</t>
  </si>
  <si>
    <t>Separately from insurance revenue</t>
  </si>
  <si>
    <t>Net of insurance service expenses</t>
  </si>
  <si>
    <t>It represents a loss</t>
  </si>
  <si>
    <t>It is a liability</t>
  </si>
  <si>
    <t>It is not allowed</t>
  </si>
  <si>
    <t>It’s treated as an asset, not a liability</t>
  </si>
  <si>
    <t>D</t>
  </si>
  <si>
    <t>IFRS 17 aims to create a consistent accounting framework for insurance contracts to improve transparency and comparability.</t>
  </si>
  <si>
    <t>IFRS 17 replaced IFRS 4, which was an interim standard.</t>
  </si>
  <si>
    <t>The initial application date for IFRS 17 was 1st January 2023.</t>
  </si>
  <si>
    <t>Reinsurance contracts held are explicitly included under IFRS 17's scope.</t>
  </si>
  <si>
    <t>When contracts are designed to achieve an overall commercial effect (such as one negating the obligations of another), IFRS 17 requires treating them as a single arrangement to reflect the economic substance.</t>
  </si>
  <si>
    <t>IFRS 17 mandates that contracts designed to work together as a package with shared pricing or risk mitigation should be combined to reflect their true economic impact.</t>
  </si>
  <si>
    <t>If contracts have no interdependent pricing or risk structure, they do not need to be combined under IFRS 17. Separation is appropriate in such cases.</t>
  </si>
  <si>
    <t>IFRS 17 requires separating investment components if they can function independently, ensuring accurate financial reporting.</t>
  </si>
  <si>
    <t>Aggregation helps ensure that profits and losses are recognized accurately and consistently in financial reporting.</t>
  </si>
  <si>
    <t>IFRS 17 allows insurers applying the PAA to assume contracts are not onerous at initial recognition, unless evidence indicates otherwise.</t>
  </si>
  <si>
    <t>Sensitivity testing and internal reporting are used to confirm profitability assumptions for GMM-eligible contracts.</t>
  </si>
  <si>
    <t>Group compositions are fixed at initial recognition, even if a contract’s status changes later.</t>
  </si>
  <si>
    <t>IFRS 17 requires recognition at the earliest of these three trigger events.</t>
  </si>
  <si>
    <t>IACFs are treated separately until the related group is recognized.</t>
  </si>
  <si>
    <t>The rate is updated only if new contracts added after the reporting period affect it.</t>
  </si>
  <si>
    <t>Fulfilment cash flows include expected future premiums and claims.</t>
  </si>
  <si>
    <t>CSM defers day-1 gains and recognizes them over the service period.</t>
  </si>
  <si>
    <t>PAA does not require a CSM unless the contract is deemed onerous.</t>
  </si>
  <si>
    <t>PAA may be used if it would not materially differ from the GMM measurement, especially for short-duration contracts.</t>
  </si>
  <si>
    <t>Changes from the passage of time (interest accretion) affect finance income/expense rather than adjusting the CSM.</t>
  </si>
  <si>
    <t>LRC comprises fulfilment cash flows related to future coverage and the unearned profit (CSM).</t>
  </si>
  <si>
    <t>Risk adjustment captures the uncertainty in future cash flows and is re-measured at each reporting date.</t>
  </si>
  <si>
    <t>The bottom-up approach begins with a liquid risk-free yield curve and adjusts it to reflect the liquidity characteristics and other factors relevant to the insurance contracts.</t>
  </si>
  <si>
    <t>Future favorable changes in fulfilment cash flows can indicate that the group is no longer onerous, allowing reversal of the loss component.</t>
  </si>
  <si>
    <t>Interest on the CSM is accreted using the locked-in discount rate set at initial recognition of the group.</t>
  </si>
  <si>
    <t>The risk adjustment covers non-financial risks only. Financial risks are reflected in discount rates or cash flows, not the risk adjustment.</t>
  </si>
  <si>
    <t>The CSM is set to zero since no future profits are expected.</t>
  </si>
  <si>
    <t>The loss component is recognized immediately in profit or loss.</t>
  </si>
  <si>
    <t>Increases in expected expenses can raise fulfilment cash flows, potentially making the group onerous.</t>
  </si>
  <si>
    <t>LRC under PAA reflects the simplified unearned premium approach, adjusted for amortized acquisition costs.</t>
  </si>
  <si>
    <t>IFRS 17 requires separate grouping of onerous and profitable contracts; losses cannot be offset by profitable ones.</t>
  </si>
  <si>
    <t>Gains on the purchase of reinsurance are deferred within the Contractual Service Margin (CSM) and recognized over the coverage period.</t>
  </si>
  <si>
    <t>Changes in fulfilment cash flows adjust the CSM if they relate to future services, or are recognized in profit or loss otherwise.</t>
  </si>
  <si>
    <t>IFRS 17 requires that reinsurance income and expenses be presented separately from insurance revenue and service expenses.</t>
  </si>
  <si>
    <t>A negative CSM on a reinsurance contract held represents a net cost to the insurer and is treated as an asset.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</si>
</sst>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Calibri"/>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2CC"/>
        <bgColor rgb="FFFFF2CC"/>
      </patternFill>
    </fill>
    <fill>
      <patternFill patternType="solid">
        <fgColor rgb="FFC6EFCE"/>
        <bgColor rgb="FFC6EFCE"/>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vertical="top" wrapText="1"/>
    </xf>
    <xf numFmtId="0" fontId="0" fillId="0" borderId="0" xfId="0" applyAlignment="1">
      <alignment vertical="top" wrapText="1"/>
    </xf>
    <xf numFmtId="0" fontId="0" fillId="33" borderId="0" xfId="0" applyFill="1" applyAlignment="1">
      <alignment vertical="top" wrapText="1"/>
    </xf>
    <xf numFmtId="0" fontId="18" fillId="34" borderId="0" xfId="0" applyFont="1" applyFill="1" applyAlignment="1">
      <alignment vertical="top" wrapText="1"/>
    </xf>
    <xf numFmtId="0" fontId="18" fillId="0" borderId="0" xfId="0" applyFont="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2BD5-69A1-4E3A-99A9-51F3DD50388A}">
  <dimension ref="A1:I36"/>
  <sheetViews>
    <sheetView tabSelected="1" topLeftCell="F1" zoomScale="140" workbookViewId="0">
      <selection activeCell="H1" sqref="H1"/>
    </sheetView>
  </sheetViews>
  <sheetFormatPr defaultRowHeight="15" x14ac:dyDescent="0.25"/>
  <cols>
    <col min="3" max="3" width="144.85546875" customWidth="1"/>
    <col min="4" max="4" width="59.7109375" customWidth="1"/>
    <col min="5" max="5" width="50.5703125" customWidth="1"/>
    <col min="6" max="6" width="50.42578125" customWidth="1"/>
    <col min="7" max="7" width="47.5703125" customWidth="1"/>
    <col min="9" max="9" width="217.5703125" bestFit="1" customWidth="1"/>
  </cols>
  <sheetData>
    <row r="1" spans="1:9" x14ac:dyDescent="0.25">
      <c r="A1" t="s">
        <v>0</v>
      </c>
      <c r="B1" t="s">
        <v>1</v>
      </c>
      <c r="C1" t="s">
        <v>2</v>
      </c>
      <c r="D1" t="s">
        <v>3</v>
      </c>
      <c r="E1" t="s">
        <v>4</v>
      </c>
      <c r="F1" t="s">
        <v>5</v>
      </c>
      <c r="G1" t="s">
        <v>6</v>
      </c>
      <c r="H1" t="s">
        <v>7</v>
      </c>
      <c r="I1" t="s">
        <v>8</v>
      </c>
    </row>
    <row r="2" spans="1:9" ht="18" customHeight="1" x14ac:dyDescent="0.25">
      <c r="A2">
        <v>1</v>
      </c>
      <c r="B2">
        <f>(100/35)</f>
        <v>2.8571428571428572</v>
      </c>
      <c r="C2" s="1" t="s">
        <v>12</v>
      </c>
      <c r="D2" s="2" t="s">
        <v>47</v>
      </c>
      <c r="E2" s="2" t="s">
        <v>48</v>
      </c>
      <c r="F2" s="2" t="s">
        <v>49</v>
      </c>
      <c r="G2" s="2" t="s">
        <v>50</v>
      </c>
      <c r="H2" s="4" t="s">
        <v>11</v>
      </c>
      <c r="I2" s="3" t="s">
        <v>188</v>
      </c>
    </row>
    <row r="3" spans="1:9" x14ac:dyDescent="0.25">
      <c r="A3">
        <v>2</v>
      </c>
      <c r="B3">
        <f t="shared" ref="B3:B36" si="0">(100/35)</f>
        <v>2.8571428571428572</v>
      </c>
      <c r="C3" s="1" t="s">
        <v>13</v>
      </c>
      <c r="D3" s="2" t="s">
        <v>51</v>
      </c>
      <c r="E3" s="2" t="s">
        <v>52</v>
      </c>
      <c r="F3" s="2" t="s">
        <v>53</v>
      </c>
      <c r="G3" s="2" t="s">
        <v>54</v>
      </c>
      <c r="H3" s="4" t="s">
        <v>10</v>
      </c>
      <c r="I3" s="3" t="s">
        <v>189</v>
      </c>
    </row>
    <row r="4" spans="1:9" x14ac:dyDescent="0.25">
      <c r="A4">
        <v>3</v>
      </c>
      <c r="B4">
        <f t="shared" si="0"/>
        <v>2.8571428571428572</v>
      </c>
      <c r="C4" s="1" t="s">
        <v>14</v>
      </c>
      <c r="D4" s="2" t="s">
        <v>55</v>
      </c>
      <c r="E4" s="2" t="s">
        <v>56</v>
      </c>
      <c r="F4" s="2" t="s">
        <v>57</v>
      </c>
      <c r="G4" s="2" t="s">
        <v>58</v>
      </c>
      <c r="H4" s="4" t="s">
        <v>9</v>
      </c>
      <c r="I4" s="3" t="s">
        <v>190</v>
      </c>
    </row>
    <row r="5" spans="1:9" ht="16.5" customHeight="1" x14ac:dyDescent="0.25">
      <c r="A5">
        <v>4</v>
      </c>
      <c r="B5">
        <f t="shared" si="0"/>
        <v>2.8571428571428572</v>
      </c>
      <c r="C5" s="1" t="s">
        <v>15</v>
      </c>
      <c r="D5" s="2" t="s">
        <v>59</v>
      </c>
      <c r="E5" s="2" t="s">
        <v>60</v>
      </c>
      <c r="F5" s="2" t="s">
        <v>61</v>
      </c>
      <c r="G5" s="2" t="s">
        <v>62</v>
      </c>
      <c r="H5" s="4" t="s">
        <v>187</v>
      </c>
      <c r="I5" s="3" t="s">
        <v>191</v>
      </c>
    </row>
    <row r="6" spans="1:9" ht="34.5" customHeight="1" x14ac:dyDescent="0.25">
      <c r="A6">
        <v>5</v>
      </c>
      <c r="B6">
        <f t="shared" si="0"/>
        <v>2.8571428571428572</v>
      </c>
      <c r="C6" s="1" t="s">
        <v>16</v>
      </c>
      <c r="D6" s="2" t="s">
        <v>63</v>
      </c>
      <c r="E6" s="2" t="s">
        <v>64</v>
      </c>
      <c r="F6" s="2" t="s">
        <v>65</v>
      </c>
      <c r="G6" s="2" t="s">
        <v>66</v>
      </c>
      <c r="H6" s="4" t="s">
        <v>11</v>
      </c>
      <c r="I6" s="3" t="s">
        <v>192</v>
      </c>
    </row>
    <row r="7" spans="1:9" ht="45" x14ac:dyDescent="0.25">
      <c r="A7">
        <v>6</v>
      </c>
      <c r="B7">
        <f t="shared" si="0"/>
        <v>2.8571428571428572</v>
      </c>
      <c r="C7" s="1" t="s">
        <v>17</v>
      </c>
      <c r="D7" s="2" t="s">
        <v>67</v>
      </c>
      <c r="E7" s="2" t="s">
        <v>68</v>
      </c>
      <c r="F7" s="2" t="s">
        <v>69</v>
      </c>
      <c r="G7" s="2" t="s">
        <v>70</v>
      </c>
      <c r="H7" s="4" t="s">
        <v>10</v>
      </c>
      <c r="I7" s="3" t="s">
        <v>193</v>
      </c>
    </row>
    <row r="8" spans="1:9" ht="30" x14ac:dyDescent="0.25">
      <c r="A8">
        <v>7</v>
      </c>
      <c r="B8">
        <f t="shared" si="0"/>
        <v>2.8571428571428572</v>
      </c>
      <c r="C8" s="1" t="s">
        <v>18</v>
      </c>
      <c r="D8" s="2" t="s">
        <v>71</v>
      </c>
      <c r="E8" s="2" t="s">
        <v>72</v>
      </c>
      <c r="F8" s="2" t="s">
        <v>73</v>
      </c>
      <c r="G8" s="2" t="s">
        <v>74</v>
      </c>
      <c r="H8" s="4" t="s">
        <v>9</v>
      </c>
      <c r="I8" s="3" t="s">
        <v>194</v>
      </c>
    </row>
    <row r="9" spans="1:9" ht="30" x14ac:dyDescent="0.25">
      <c r="A9">
        <v>8</v>
      </c>
      <c r="B9">
        <f t="shared" si="0"/>
        <v>2.8571428571428572</v>
      </c>
      <c r="C9" s="1" t="s">
        <v>19</v>
      </c>
      <c r="D9" s="2" t="s">
        <v>75</v>
      </c>
      <c r="E9" s="2" t="s">
        <v>76</v>
      </c>
      <c r="F9" s="2" t="s">
        <v>77</v>
      </c>
      <c r="G9" s="2" t="s">
        <v>78</v>
      </c>
      <c r="H9" s="4" t="s">
        <v>187</v>
      </c>
      <c r="I9" s="3" t="s">
        <v>195</v>
      </c>
    </row>
    <row r="10" spans="1:9" ht="30" x14ac:dyDescent="0.25">
      <c r="A10">
        <v>9</v>
      </c>
      <c r="B10">
        <f t="shared" si="0"/>
        <v>2.8571428571428572</v>
      </c>
      <c r="C10" s="1" t="s">
        <v>20</v>
      </c>
      <c r="D10" s="2" t="s">
        <v>79</v>
      </c>
      <c r="E10" s="2" t="s">
        <v>80</v>
      </c>
      <c r="F10" s="2" t="s">
        <v>81</v>
      </c>
      <c r="G10" s="2" t="s">
        <v>82</v>
      </c>
      <c r="H10" s="4" t="s">
        <v>10</v>
      </c>
      <c r="I10" s="3" t="s">
        <v>196</v>
      </c>
    </row>
    <row r="11" spans="1:9" ht="30" x14ac:dyDescent="0.25">
      <c r="A11">
        <v>10</v>
      </c>
      <c r="B11">
        <f t="shared" si="0"/>
        <v>2.8571428571428572</v>
      </c>
      <c r="C11" s="1" t="s">
        <v>21</v>
      </c>
      <c r="D11" s="2" t="s">
        <v>83</v>
      </c>
      <c r="E11" s="2" t="s">
        <v>84</v>
      </c>
      <c r="F11" s="2" t="s">
        <v>85</v>
      </c>
      <c r="G11" s="2" t="s">
        <v>86</v>
      </c>
      <c r="H11" s="4" t="s">
        <v>187</v>
      </c>
      <c r="I11" s="3" t="s">
        <v>197</v>
      </c>
    </row>
    <row r="12" spans="1:9" x14ac:dyDescent="0.25">
      <c r="A12">
        <v>11</v>
      </c>
      <c r="B12">
        <f t="shared" si="0"/>
        <v>2.8571428571428572</v>
      </c>
      <c r="C12" s="1" t="s">
        <v>22</v>
      </c>
      <c r="D12" s="2" t="s">
        <v>87</v>
      </c>
      <c r="E12" s="2" t="s">
        <v>88</v>
      </c>
      <c r="F12" s="2" t="s">
        <v>89</v>
      </c>
      <c r="G12" s="2" t="s">
        <v>90</v>
      </c>
      <c r="H12" s="4" t="s">
        <v>10</v>
      </c>
      <c r="I12" s="3" t="s">
        <v>198</v>
      </c>
    </row>
    <row r="13" spans="1:9" x14ac:dyDescent="0.25">
      <c r="A13">
        <v>12</v>
      </c>
      <c r="B13">
        <f t="shared" si="0"/>
        <v>2.8571428571428572</v>
      </c>
      <c r="C13" s="1" t="s">
        <v>23</v>
      </c>
      <c r="D13" s="2" t="s">
        <v>91</v>
      </c>
      <c r="E13" s="2" t="s">
        <v>92</v>
      </c>
      <c r="F13" s="2" t="s">
        <v>93</v>
      </c>
      <c r="G13" s="2" t="s">
        <v>94</v>
      </c>
      <c r="H13" s="4" t="s">
        <v>11</v>
      </c>
      <c r="I13" s="3" t="s">
        <v>199</v>
      </c>
    </row>
    <row r="14" spans="1:9" ht="30" x14ac:dyDescent="0.25">
      <c r="A14">
        <v>13</v>
      </c>
      <c r="B14">
        <f t="shared" si="0"/>
        <v>2.8571428571428572</v>
      </c>
      <c r="C14" s="1" t="s">
        <v>24</v>
      </c>
      <c r="D14" s="2" t="s">
        <v>95</v>
      </c>
      <c r="E14" s="2" t="s">
        <v>96</v>
      </c>
      <c r="F14" s="2" t="s">
        <v>97</v>
      </c>
      <c r="G14" s="2" t="s">
        <v>98</v>
      </c>
      <c r="H14" s="4" t="s">
        <v>187</v>
      </c>
      <c r="I14" s="3" t="s">
        <v>200</v>
      </c>
    </row>
    <row r="15" spans="1:9" x14ac:dyDescent="0.25">
      <c r="A15">
        <v>14</v>
      </c>
      <c r="B15">
        <f t="shared" si="0"/>
        <v>2.8571428571428572</v>
      </c>
      <c r="C15" s="1" t="s">
        <v>25</v>
      </c>
      <c r="D15" s="2" t="s">
        <v>99</v>
      </c>
      <c r="E15" s="2" t="s">
        <v>100</v>
      </c>
      <c r="F15" s="2" t="s">
        <v>101</v>
      </c>
      <c r="G15" s="2" t="s">
        <v>102</v>
      </c>
      <c r="H15" s="4" t="s">
        <v>11</v>
      </c>
      <c r="I15" s="3" t="s">
        <v>201</v>
      </c>
    </row>
    <row r="16" spans="1:9" x14ac:dyDescent="0.25">
      <c r="A16">
        <v>15</v>
      </c>
      <c r="B16">
        <f t="shared" si="0"/>
        <v>2.8571428571428572</v>
      </c>
      <c r="C16" s="1" t="s">
        <v>26</v>
      </c>
      <c r="D16" s="2" t="s">
        <v>103</v>
      </c>
      <c r="E16" s="2" t="s">
        <v>104</v>
      </c>
      <c r="F16" s="2" t="s">
        <v>105</v>
      </c>
      <c r="G16" s="2" t="s">
        <v>106</v>
      </c>
      <c r="H16" s="4" t="s">
        <v>10</v>
      </c>
      <c r="I16" s="3" t="s">
        <v>202</v>
      </c>
    </row>
    <row r="17" spans="1:9" x14ac:dyDescent="0.25">
      <c r="A17">
        <v>16</v>
      </c>
      <c r="B17">
        <f t="shared" si="0"/>
        <v>2.8571428571428572</v>
      </c>
      <c r="C17" s="1" t="s">
        <v>27</v>
      </c>
      <c r="D17" s="2" t="s">
        <v>107</v>
      </c>
      <c r="E17" s="2" t="s">
        <v>108</v>
      </c>
      <c r="F17" s="2" t="s">
        <v>109</v>
      </c>
      <c r="G17" s="2" t="s">
        <v>110</v>
      </c>
      <c r="H17" s="4" t="s">
        <v>9</v>
      </c>
      <c r="I17" s="3" t="s">
        <v>203</v>
      </c>
    </row>
    <row r="18" spans="1:9" x14ac:dyDescent="0.25">
      <c r="A18">
        <v>17</v>
      </c>
      <c r="B18">
        <f t="shared" si="0"/>
        <v>2.8571428571428572</v>
      </c>
      <c r="C18" s="1" t="s">
        <v>28</v>
      </c>
      <c r="D18" s="2" t="s">
        <v>111</v>
      </c>
      <c r="E18" s="2" t="s">
        <v>112</v>
      </c>
      <c r="F18" s="2" t="s">
        <v>113</v>
      </c>
      <c r="G18" s="2" t="s">
        <v>114</v>
      </c>
      <c r="H18" s="4" t="s">
        <v>11</v>
      </c>
      <c r="I18" s="3" t="s">
        <v>204</v>
      </c>
    </row>
    <row r="19" spans="1:9" x14ac:dyDescent="0.25">
      <c r="A19">
        <v>18</v>
      </c>
      <c r="B19">
        <f t="shared" si="0"/>
        <v>2.8571428571428572</v>
      </c>
      <c r="C19" s="1" t="s">
        <v>29</v>
      </c>
      <c r="D19" s="2" t="s">
        <v>115</v>
      </c>
      <c r="E19" s="2" t="s">
        <v>116</v>
      </c>
      <c r="F19" s="2" t="s">
        <v>117</v>
      </c>
      <c r="G19" s="2" t="s">
        <v>118</v>
      </c>
      <c r="H19" s="4" t="s">
        <v>10</v>
      </c>
      <c r="I19" s="3" t="s">
        <v>205</v>
      </c>
    </row>
    <row r="20" spans="1:9" ht="30" x14ac:dyDescent="0.25">
      <c r="A20">
        <v>19</v>
      </c>
      <c r="B20">
        <f t="shared" si="0"/>
        <v>2.8571428571428572</v>
      </c>
      <c r="C20" s="1" t="s">
        <v>30</v>
      </c>
      <c r="D20" s="2" t="s">
        <v>119</v>
      </c>
      <c r="E20" s="2" t="s">
        <v>120</v>
      </c>
      <c r="F20" s="2" t="s">
        <v>121</v>
      </c>
      <c r="G20" s="2" t="s">
        <v>122</v>
      </c>
      <c r="H20" s="4" t="s">
        <v>9</v>
      </c>
      <c r="I20" s="3" t="s">
        <v>206</v>
      </c>
    </row>
    <row r="21" spans="1:9" x14ac:dyDescent="0.25">
      <c r="A21">
        <v>20</v>
      </c>
      <c r="B21">
        <f t="shared" si="0"/>
        <v>2.8571428571428572</v>
      </c>
      <c r="C21" s="1" t="s">
        <v>31</v>
      </c>
      <c r="D21" s="2" t="s">
        <v>123</v>
      </c>
      <c r="E21" s="2" t="s">
        <v>124</v>
      </c>
      <c r="F21" s="2" t="s">
        <v>125</v>
      </c>
      <c r="G21" s="2" t="s">
        <v>126</v>
      </c>
      <c r="H21" s="4" t="s">
        <v>10</v>
      </c>
      <c r="I21" s="3" t="s">
        <v>207</v>
      </c>
    </row>
    <row r="22" spans="1:9" x14ac:dyDescent="0.25">
      <c r="A22">
        <v>21</v>
      </c>
      <c r="B22">
        <f t="shared" si="0"/>
        <v>2.8571428571428572</v>
      </c>
      <c r="C22" s="1" t="s">
        <v>32</v>
      </c>
      <c r="D22" s="2" t="s">
        <v>127</v>
      </c>
      <c r="E22" s="2" t="s">
        <v>128</v>
      </c>
      <c r="F22" s="2" t="s">
        <v>129</v>
      </c>
      <c r="G22" s="2" t="s">
        <v>130</v>
      </c>
      <c r="H22" s="4" t="s">
        <v>10</v>
      </c>
      <c r="I22" s="3" t="s">
        <v>208</v>
      </c>
    </row>
    <row r="23" spans="1:9" x14ac:dyDescent="0.25">
      <c r="A23">
        <v>22</v>
      </c>
      <c r="B23">
        <f t="shared" si="0"/>
        <v>2.8571428571428572</v>
      </c>
      <c r="C23" s="1" t="s">
        <v>33</v>
      </c>
      <c r="D23" s="2" t="s">
        <v>131</v>
      </c>
      <c r="E23" s="2" t="s">
        <v>132</v>
      </c>
      <c r="F23" s="2" t="s">
        <v>133</v>
      </c>
      <c r="G23" s="2" t="s">
        <v>134</v>
      </c>
      <c r="H23" s="4" t="s">
        <v>9</v>
      </c>
      <c r="I23" s="3" t="s">
        <v>209</v>
      </c>
    </row>
    <row r="24" spans="1:9" ht="30" x14ac:dyDescent="0.25">
      <c r="A24">
        <v>23</v>
      </c>
      <c r="B24">
        <f t="shared" si="0"/>
        <v>2.8571428571428572</v>
      </c>
      <c r="C24" s="1" t="s">
        <v>34</v>
      </c>
      <c r="D24" s="2" t="s">
        <v>135</v>
      </c>
      <c r="E24" s="2" t="s">
        <v>136</v>
      </c>
      <c r="F24" s="2" t="s">
        <v>137</v>
      </c>
      <c r="G24" s="2" t="s">
        <v>138</v>
      </c>
      <c r="H24" s="4" t="s">
        <v>187</v>
      </c>
      <c r="I24" s="3" t="s">
        <v>210</v>
      </c>
    </row>
    <row r="25" spans="1:9" ht="30" x14ac:dyDescent="0.25">
      <c r="A25">
        <v>24</v>
      </c>
      <c r="B25">
        <f t="shared" si="0"/>
        <v>2.8571428571428572</v>
      </c>
      <c r="C25" s="1" t="s">
        <v>35</v>
      </c>
      <c r="D25" s="2" t="s">
        <v>139</v>
      </c>
      <c r="E25" s="2" t="s">
        <v>140</v>
      </c>
      <c r="F25" s="2" t="s">
        <v>141</v>
      </c>
      <c r="G25" s="2" t="s">
        <v>142</v>
      </c>
      <c r="H25" s="4" t="s">
        <v>187</v>
      </c>
      <c r="I25" s="3" t="s">
        <v>211</v>
      </c>
    </row>
    <row r="26" spans="1:9" ht="30" x14ac:dyDescent="0.25">
      <c r="A26">
        <v>25</v>
      </c>
      <c r="B26">
        <f t="shared" si="0"/>
        <v>2.8571428571428572</v>
      </c>
      <c r="C26" s="1" t="s">
        <v>36</v>
      </c>
      <c r="D26" s="2" t="s">
        <v>143</v>
      </c>
      <c r="E26" s="2" t="s">
        <v>144</v>
      </c>
      <c r="F26" s="2" t="s">
        <v>145</v>
      </c>
      <c r="G26" s="2" t="s">
        <v>146</v>
      </c>
      <c r="H26" s="4" t="s">
        <v>187</v>
      </c>
      <c r="I26" s="3" t="s">
        <v>212</v>
      </c>
    </row>
    <row r="27" spans="1:9" x14ac:dyDescent="0.25">
      <c r="A27">
        <v>26</v>
      </c>
      <c r="B27">
        <f t="shared" si="0"/>
        <v>2.8571428571428572</v>
      </c>
      <c r="C27" s="1" t="s">
        <v>37</v>
      </c>
      <c r="D27" s="2" t="s">
        <v>147</v>
      </c>
      <c r="E27" s="2" t="s">
        <v>148</v>
      </c>
      <c r="F27" s="2" t="s">
        <v>149</v>
      </c>
      <c r="G27" s="2" t="s">
        <v>150</v>
      </c>
      <c r="H27" s="4" t="s">
        <v>9</v>
      </c>
      <c r="I27" s="3" t="s">
        <v>213</v>
      </c>
    </row>
    <row r="28" spans="1:9" x14ac:dyDescent="0.25">
      <c r="A28">
        <v>27</v>
      </c>
      <c r="B28">
        <f t="shared" si="0"/>
        <v>2.8571428571428572</v>
      </c>
      <c r="C28" s="1" t="s">
        <v>38</v>
      </c>
      <c r="D28" s="2" t="s">
        <v>151</v>
      </c>
      <c r="E28" s="2" t="s">
        <v>152</v>
      </c>
      <c r="F28" s="2" t="s">
        <v>153</v>
      </c>
      <c r="G28" s="2" t="s">
        <v>154</v>
      </c>
      <c r="H28" s="4" t="s">
        <v>187</v>
      </c>
      <c r="I28" s="3" t="s">
        <v>214</v>
      </c>
    </row>
    <row r="29" spans="1:9" x14ac:dyDescent="0.25">
      <c r="A29">
        <v>28</v>
      </c>
      <c r="B29">
        <f t="shared" si="0"/>
        <v>2.8571428571428572</v>
      </c>
      <c r="C29" s="1" t="s">
        <v>39</v>
      </c>
      <c r="D29" s="2" t="s">
        <v>155</v>
      </c>
      <c r="E29" s="2" t="s">
        <v>156</v>
      </c>
      <c r="F29" s="2" t="s">
        <v>157</v>
      </c>
      <c r="G29" s="2" t="s">
        <v>158</v>
      </c>
      <c r="H29" s="4" t="s">
        <v>187</v>
      </c>
      <c r="I29" s="3" t="s">
        <v>215</v>
      </c>
    </row>
    <row r="30" spans="1:9" x14ac:dyDescent="0.25">
      <c r="A30">
        <v>29</v>
      </c>
      <c r="B30">
        <f t="shared" si="0"/>
        <v>2.8571428571428572</v>
      </c>
      <c r="C30" s="1" t="s">
        <v>40</v>
      </c>
      <c r="D30" s="2" t="s">
        <v>159</v>
      </c>
      <c r="E30" s="2" t="s">
        <v>160</v>
      </c>
      <c r="F30" s="2" t="s">
        <v>161</v>
      </c>
      <c r="G30" s="2" t="s">
        <v>162</v>
      </c>
      <c r="H30" s="4" t="s">
        <v>11</v>
      </c>
      <c r="I30" s="3" t="s">
        <v>216</v>
      </c>
    </row>
    <row r="31" spans="1:9" ht="30" x14ac:dyDescent="0.25">
      <c r="A31">
        <v>30</v>
      </c>
      <c r="B31">
        <f t="shared" si="0"/>
        <v>2.8571428571428572</v>
      </c>
      <c r="C31" s="1" t="s">
        <v>41</v>
      </c>
      <c r="D31" s="2" t="s">
        <v>163</v>
      </c>
      <c r="E31" s="2" t="s">
        <v>164</v>
      </c>
      <c r="F31" s="2" t="s">
        <v>165</v>
      </c>
      <c r="G31" s="2" t="s">
        <v>166</v>
      </c>
      <c r="H31" s="4" t="s">
        <v>9</v>
      </c>
      <c r="I31" s="3" t="s">
        <v>217</v>
      </c>
    </row>
    <row r="32" spans="1:9" x14ac:dyDescent="0.25">
      <c r="A32">
        <v>31</v>
      </c>
      <c r="B32">
        <f t="shared" si="0"/>
        <v>2.8571428571428572</v>
      </c>
      <c r="C32" s="1" t="s">
        <v>42</v>
      </c>
      <c r="D32" s="2" t="s">
        <v>167</v>
      </c>
      <c r="E32" s="2" t="s">
        <v>168</v>
      </c>
      <c r="F32" s="2" t="s">
        <v>169</v>
      </c>
      <c r="G32" s="2" t="s">
        <v>170</v>
      </c>
      <c r="H32" s="4" t="s">
        <v>11</v>
      </c>
      <c r="I32" s="3" t="s">
        <v>218</v>
      </c>
    </row>
    <row r="33" spans="1:9" x14ac:dyDescent="0.25">
      <c r="A33">
        <v>32</v>
      </c>
      <c r="B33">
        <f t="shared" si="0"/>
        <v>2.8571428571428572</v>
      </c>
      <c r="C33" s="1" t="s">
        <v>43</v>
      </c>
      <c r="D33" s="2" t="s">
        <v>171</v>
      </c>
      <c r="E33" s="2" t="s">
        <v>172</v>
      </c>
      <c r="F33" s="2" t="s">
        <v>173</v>
      </c>
      <c r="G33" s="2" t="s">
        <v>174</v>
      </c>
      <c r="H33" s="4" t="s">
        <v>10</v>
      </c>
      <c r="I33" s="3" t="s">
        <v>219</v>
      </c>
    </row>
    <row r="34" spans="1:9" x14ac:dyDescent="0.25">
      <c r="A34">
        <v>33</v>
      </c>
      <c r="B34">
        <f t="shared" si="0"/>
        <v>2.8571428571428572</v>
      </c>
      <c r="C34" s="1" t="s">
        <v>44</v>
      </c>
      <c r="D34" s="2" t="s">
        <v>175</v>
      </c>
      <c r="E34" s="2" t="s">
        <v>176</v>
      </c>
      <c r="F34" s="2" t="s">
        <v>177</v>
      </c>
      <c r="G34" s="2" t="s">
        <v>178</v>
      </c>
      <c r="H34" s="4" t="s">
        <v>11</v>
      </c>
      <c r="I34" s="3" t="s">
        <v>220</v>
      </c>
    </row>
    <row r="35" spans="1:9" x14ac:dyDescent="0.25">
      <c r="A35">
        <v>34</v>
      </c>
      <c r="B35">
        <f t="shared" si="0"/>
        <v>2.8571428571428572</v>
      </c>
      <c r="C35" s="1" t="s">
        <v>45</v>
      </c>
      <c r="D35" s="2" t="s">
        <v>179</v>
      </c>
      <c r="E35" s="2" t="s">
        <v>180</v>
      </c>
      <c r="F35" s="2" t="s">
        <v>181</v>
      </c>
      <c r="G35" s="2" t="s">
        <v>182</v>
      </c>
      <c r="H35" s="4" t="s">
        <v>9</v>
      </c>
      <c r="I35" s="3" t="s">
        <v>221</v>
      </c>
    </row>
    <row r="36" spans="1:9" x14ac:dyDescent="0.25">
      <c r="A36">
        <v>35</v>
      </c>
      <c r="B36">
        <f t="shared" si="0"/>
        <v>2.8571428571428572</v>
      </c>
      <c r="C36" s="5" t="s">
        <v>46</v>
      </c>
      <c r="D36" s="2" t="s">
        <v>183</v>
      </c>
      <c r="E36" s="2" t="s">
        <v>184</v>
      </c>
      <c r="F36" s="2" t="s">
        <v>185</v>
      </c>
      <c r="G36" s="2" t="s">
        <v>186</v>
      </c>
      <c r="H36" s="4" t="s">
        <v>187</v>
      </c>
      <c r="I36" s="3"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IFRS17_Questions_AND_answers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Ochieng</dc:creator>
  <cp:lastModifiedBy>Robin Ochieng</cp:lastModifiedBy>
  <dcterms:created xsi:type="dcterms:W3CDTF">2025-12-01T08:40:31Z</dcterms:created>
  <dcterms:modified xsi:type="dcterms:W3CDTF">2025-12-01T08:43:33Z</dcterms:modified>
</cp:coreProperties>
</file>